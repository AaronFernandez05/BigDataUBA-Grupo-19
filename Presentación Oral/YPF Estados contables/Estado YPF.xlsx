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9faece5b96a6bde/Escritorio/"/>
    </mc:Choice>
  </mc:AlternateContent>
  <xr:revisionPtr revIDLastSave="139" documentId="11_AD4D2F04E46CFB4ACB3E200F75D4E628683EDF1E" xr6:coauthVersionLast="47" xr6:coauthVersionMax="47" xr10:uidLastSave="{BDA089EB-CFBF-4993-B602-F04D4CD1A1F1}"/>
  <bookViews>
    <workbookView xWindow="10404" yWindow="2808" windowWidth="11772" windowHeight="888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<sst xmlns="http://schemas.openxmlformats.org/spreadsheetml/2006/main" count="8" uniqueCount="8">
  <si>
    <t>Año</t>
  </si>
  <si>
    <t>Activos</t>
  </si>
  <si>
    <t>Pasivos</t>
  </si>
  <si>
    <t>Patrimonio neto</t>
  </si>
  <si>
    <t>Ingresos</t>
  </si>
  <si>
    <t>Costos</t>
  </si>
  <si>
    <t>Resultados Brutos</t>
  </si>
  <si>
    <t>Resultados netos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</si>
</sst>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B1" zoomScaleNormal="100" workbookViewId="0">
      <selection activeCell="H5" sqref="H5"/>
    </sheetView>
  </sheetViews>
  <sheetFormatPr baseColWidth="10" defaultColWidth="8.88671875" defaultRowHeight="14.4" x14ac:dyDescent="0.3"/>
  <cols>
    <col min="2" max="3" width="15.33203125" bestFit="1" customWidth="1"/>
    <col min="4" max="4" width="15.88671875" customWidth="1"/>
    <col min="5" max="6" width="15.33203125" bestFit="1" customWidth="1"/>
    <col min="7" max="7" width="15.5546875" bestFit="1" customWidth="1"/>
    <col min="8" max="8" width="14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2013</v>
      </c>
      <c r="B2" s="1">
        <v>131860</v>
      </c>
      <c r="C2" s="1">
        <v>83844</v>
      </c>
      <c r="D2" s="1">
        <v>48016</v>
      </c>
      <c r="E2" s="1">
        <v>90113</v>
      </c>
      <c r="F2" s="1">
        <v>-68094</v>
      </c>
      <c r="G2" s="1">
        <f>SUM(E2+F2)</f>
        <v>22019</v>
      </c>
      <c r="H2" s="1">
        <v>5079</v>
      </c>
    </row>
    <row r="3" spans="1:8" x14ac:dyDescent="0.3">
      <c r="A3">
        <v>2014</v>
      </c>
      <c r="B3" s="1">
        <v>180958</v>
      </c>
      <c r="C3" s="1">
        <v>132942</v>
      </c>
      <c r="D3" s="1">
        <v>48016</v>
      </c>
      <c r="E3" s="1">
        <v>141942</v>
      </c>
      <c r="F3" s="1">
        <v>-104492</v>
      </c>
      <c r="G3" s="1">
        <f t="shared" ref="G3:G13" si="0">SUM(E3+F3)</f>
        <v>37450</v>
      </c>
      <c r="H3" s="1">
        <v>8849</v>
      </c>
    </row>
    <row r="4" spans="1:8" x14ac:dyDescent="0.3">
      <c r="A4">
        <v>2015</v>
      </c>
      <c r="B4" s="1">
        <v>219975</v>
      </c>
      <c r="C4" s="1">
        <v>168658</v>
      </c>
      <c r="D4" s="1">
        <v>51317</v>
      </c>
      <c r="E4" s="1">
        <v>156136</v>
      </c>
      <c r="F4" s="1">
        <v>-119537</v>
      </c>
      <c r="G4" s="1">
        <f t="shared" si="0"/>
        <v>36599</v>
      </c>
      <c r="H4" s="1">
        <v>4426</v>
      </c>
    </row>
    <row r="5" spans="1:8" x14ac:dyDescent="0.3">
      <c r="A5">
        <v>2016</v>
      </c>
      <c r="B5" s="1">
        <v>421139</v>
      </c>
      <c r="C5" s="1">
        <v>302478</v>
      </c>
      <c r="D5" s="1">
        <v>118661</v>
      </c>
      <c r="E5" s="1">
        <v>190696</v>
      </c>
      <c r="F5" s="1">
        <v>-160751</v>
      </c>
      <c r="G5" s="1">
        <f t="shared" si="0"/>
        <v>29945</v>
      </c>
      <c r="H5" s="1">
        <v>-28237</v>
      </c>
    </row>
    <row r="6" spans="1:8" x14ac:dyDescent="0.3">
      <c r="A6">
        <v>2017</v>
      </c>
      <c r="B6" s="1">
        <v>505718</v>
      </c>
      <c r="C6" s="1">
        <v>353185</v>
      </c>
      <c r="D6" s="1">
        <v>152533</v>
      </c>
      <c r="E6" s="1">
        <v>252813</v>
      </c>
      <c r="F6" s="1">
        <v>-211812</v>
      </c>
      <c r="G6" s="1">
        <f t="shared" si="0"/>
        <v>41001</v>
      </c>
      <c r="H6" s="1">
        <v>12672</v>
      </c>
    </row>
    <row r="7" spans="1:8" x14ac:dyDescent="0.3">
      <c r="A7">
        <v>2018</v>
      </c>
      <c r="B7" s="1">
        <v>994016</v>
      </c>
      <c r="C7" s="1">
        <v>631659</v>
      </c>
      <c r="D7" s="1">
        <v>362357</v>
      </c>
      <c r="E7" s="1">
        <v>435820</v>
      </c>
      <c r="F7" s="1">
        <v>-359570</v>
      </c>
      <c r="G7" s="1">
        <f t="shared" si="0"/>
        <v>76250</v>
      </c>
      <c r="H7" s="1">
        <v>38606</v>
      </c>
    </row>
    <row r="8" spans="1:8" x14ac:dyDescent="0.3">
      <c r="A8">
        <v>2019</v>
      </c>
      <c r="B8" s="1">
        <v>1573289</v>
      </c>
      <c r="C8" s="1">
        <v>1025190</v>
      </c>
      <c r="D8" s="1">
        <v>548099</v>
      </c>
      <c r="E8" s="1">
        <v>678595</v>
      </c>
      <c r="F8" s="1">
        <v>-575608</v>
      </c>
      <c r="G8" s="1">
        <f t="shared" si="0"/>
        <v>102987</v>
      </c>
      <c r="H8" s="1">
        <v>-33379</v>
      </c>
    </row>
    <row r="9" spans="1:8" x14ac:dyDescent="0.3">
      <c r="A9">
        <v>2020</v>
      </c>
      <c r="B9" s="1">
        <v>1923225</v>
      </c>
      <c r="C9" s="1">
        <v>1239830</v>
      </c>
      <c r="D9" s="1">
        <v>683395</v>
      </c>
      <c r="E9" s="1">
        <v>669186</v>
      </c>
      <c r="F9" s="1">
        <v>-626212</v>
      </c>
      <c r="G9" s="1">
        <f t="shared" si="0"/>
        <v>42974</v>
      </c>
      <c r="H9" s="1">
        <v>135483</v>
      </c>
    </row>
    <row r="10" spans="1:8" x14ac:dyDescent="0.3">
      <c r="A10">
        <v>2021</v>
      </c>
      <c r="B10" s="1">
        <v>2390068</v>
      </c>
      <c r="C10" s="1">
        <v>1541950</v>
      </c>
      <c r="D10" s="1">
        <v>848118</v>
      </c>
      <c r="E10" s="1">
        <v>1271330</v>
      </c>
      <c r="F10" s="1">
        <v>-1028180</v>
      </c>
      <c r="G10" s="1">
        <f t="shared" si="0"/>
        <v>243150</v>
      </c>
      <c r="H10" s="1">
        <v>243150</v>
      </c>
    </row>
    <row r="11" spans="1:8" x14ac:dyDescent="0.3">
      <c r="A11">
        <v>2022</v>
      </c>
      <c r="B11" s="1">
        <v>4588159</v>
      </c>
      <c r="C11" s="1">
        <v>2719855</v>
      </c>
      <c r="D11" s="1">
        <v>1868304</v>
      </c>
      <c r="E11" s="1">
        <v>2526466</v>
      </c>
      <c r="F11" s="1">
        <v>-1881711</v>
      </c>
      <c r="G11" s="1">
        <f t="shared" si="0"/>
        <v>644755</v>
      </c>
      <c r="H11" s="1">
        <v>290264</v>
      </c>
    </row>
    <row r="12" spans="1:8" x14ac:dyDescent="0.3">
      <c r="A12">
        <v>2023</v>
      </c>
      <c r="B12" s="1">
        <v>20202123</v>
      </c>
      <c r="C12" s="1">
        <v>12898308</v>
      </c>
      <c r="D12" s="1">
        <v>7303815</v>
      </c>
      <c r="E12" s="1">
        <v>5484544</v>
      </c>
      <c r="F12" s="1">
        <v>-4525390</v>
      </c>
      <c r="G12" s="1">
        <f t="shared" si="0"/>
        <v>959154</v>
      </c>
      <c r="H12" s="1">
        <v>-1532745</v>
      </c>
    </row>
    <row r="13" spans="1:8" x14ac:dyDescent="0.3">
      <c r="A13">
        <v>2024</v>
      </c>
      <c r="B13" s="1">
        <v>30287297</v>
      </c>
      <c r="C13" s="1">
        <v>18055337</v>
      </c>
      <c r="D13" s="1">
        <v>12231960</v>
      </c>
      <c r="E13" s="1">
        <v>17895031</v>
      </c>
      <c r="F13" s="1">
        <v>-13021894</v>
      </c>
      <c r="G13" s="1">
        <f t="shared" si="0"/>
        <v>4873137</v>
      </c>
      <c r="H13" s="1">
        <v>2122815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romano</dc:creator>
  <cp:lastModifiedBy>joaquin romano</cp:lastModifiedBy>
  <dcterms:created xsi:type="dcterms:W3CDTF">2015-06-05T18:19:34Z</dcterms:created>
  <dcterms:modified xsi:type="dcterms:W3CDTF">2025-06-05T02:02:38Z</dcterms:modified>
</cp:coreProperties>
</file>